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93eee85458fb33/Área de Trabalho/BRUMED/BRUMED PYTHON/"/>
    </mc:Choice>
  </mc:AlternateContent>
  <xr:revisionPtr revIDLastSave="391" documentId="13_ncr:1_{9D8D8DA5-C76B-4607-AC67-CE12272E705D}" xr6:coauthVersionLast="47" xr6:coauthVersionMax="47" xr10:uidLastSave="{BD4A818F-B73E-4C53-A41D-81D60E84E284}"/>
  <bookViews>
    <workbookView xWindow="-108" yWindow="-108" windowWidth="23256" windowHeight="12456" firstSheet="9" activeTab="13" xr2:uid="{6F1F78DF-79F9-4C50-9C0E-A54D9E950ABA}"/>
  </bookViews>
  <sheets>
    <sheet name="ENCARGOS TRABALHISTAS" sheetId="5" r:id="rId1"/>
    <sheet name="ENCARGOS TRABALHISTAS (2)" sheetId="7" r:id="rId2"/>
    <sheet name="SIMPLES" sheetId="4" r:id="rId3"/>
    <sheet name="L. PRESUMIDO SERV. NORMAIS" sheetId="3" r:id="rId4"/>
    <sheet name="L. PRESUMIDO SERV. NORMAIS (2)" sheetId="8" r:id="rId5"/>
    <sheet name="L. PRESUMIDO SERV. NORMAIS (3)" sheetId="9" r:id="rId6"/>
    <sheet name="L. PRESUMIDO SERV. MÉDICOS" sheetId="2" r:id="rId7"/>
    <sheet name="L. PRESUMIDO SERV. MÉDICOS (2)" sheetId="10" r:id="rId8"/>
    <sheet name="L. PRESUMIDO SERV. MÉDICOS (3)" sheetId="11" r:id="rId9"/>
    <sheet name="L. REAL" sheetId="1" r:id="rId10"/>
    <sheet name="L. REAL (2)" sheetId="12" r:id="rId11"/>
    <sheet name="L. REAL (3)" sheetId="13" r:id="rId12"/>
    <sheet name="SIMPLES FOLHA + REAL APURAÇÃO" sheetId="6" r:id="rId13"/>
    <sheet name="Resumo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3" i="6"/>
  <c r="C2" i="6"/>
  <c r="C3" i="13"/>
  <c r="C2" i="13"/>
  <c r="C3" i="11"/>
  <c r="C2" i="11"/>
  <c r="C3" i="9"/>
  <c r="C2" i="9"/>
  <c r="K4" i="14"/>
  <c r="J4" i="14"/>
  <c r="I4" i="14"/>
  <c r="H4" i="14"/>
  <c r="G4" i="14"/>
  <c r="F4" i="14"/>
  <c r="E4" i="14"/>
  <c r="D4" i="14"/>
  <c r="B4" i="14"/>
</calcChain>
</file>

<file path=xl/sharedStrings.xml><?xml version="1.0" encoding="utf-8"?>
<sst xmlns="http://schemas.openxmlformats.org/spreadsheetml/2006/main" count="220" uniqueCount="126">
  <si>
    <t>ISS</t>
  </si>
  <si>
    <t>PIS</t>
  </si>
  <si>
    <t>COFINS</t>
  </si>
  <si>
    <t>Adicional do IR</t>
  </si>
  <si>
    <t>MÉDIA MENSAL</t>
  </si>
  <si>
    <t>MÉDIA ANUAL</t>
  </si>
  <si>
    <t>PARÂMETRO</t>
  </si>
  <si>
    <t>IRPJ</t>
  </si>
  <si>
    <t>CSLL</t>
  </si>
  <si>
    <t>ALÍQUOTA TRIBUTÁRIA EFETIVA</t>
  </si>
  <si>
    <t>Alíquota IR</t>
  </si>
  <si>
    <t>Alíquota CSLL</t>
  </si>
  <si>
    <t>ECONOMIA ANUAL</t>
  </si>
  <si>
    <t>Faixa 4</t>
  </si>
  <si>
    <t>Imposto / Encargo</t>
  </si>
  <si>
    <t xml:space="preserve">Simples Nacional </t>
  </si>
  <si>
    <t>Lucro Presumido</t>
  </si>
  <si>
    <t>Lucro Real</t>
  </si>
  <si>
    <t>INSS Patronal (20%)</t>
  </si>
  <si>
    <t>Isento</t>
  </si>
  <si>
    <t>RAT (1,0% x FAP 1,0)</t>
  </si>
  <si>
    <t>INSS Terceiros (5,8%)</t>
  </si>
  <si>
    <t>FGTS (8,0%)</t>
  </si>
  <si>
    <t>INSS Segurado</t>
  </si>
  <si>
    <t>Variável Folha</t>
  </si>
  <si>
    <t>IRRF Segurado</t>
  </si>
  <si>
    <t>TOTAL (Custo Empresa)</t>
  </si>
  <si>
    <t>Custo médio salarial</t>
  </si>
  <si>
    <t>% Encargos sobre folha</t>
  </si>
  <si>
    <t>Variável 
Folha</t>
  </si>
  <si>
    <t>TRIBUTAÇÃO EFETIVA MÉDIA</t>
  </si>
  <si>
    <t>% Encargos sobre faturamento</t>
  </si>
  <si>
    <t>TRIBUTAÇÃO MÉDIA</t>
  </si>
  <si>
    <t>ALÍQUOTA TRIBUTÁRIA MÉDIA</t>
  </si>
  <si>
    <t>TOTAL</t>
  </si>
  <si>
    <t>APURAÇÃO CONJUNTA COM EMPRESA DE FOLHA NO SIMPLES E APURAÇÃO NO L. REAL</t>
  </si>
  <si>
    <t>ECONOMIA ANUAL (SIMPLE - L. PRESUM SERV NORM)</t>
  </si>
  <si>
    <t>ECONOMIA ANUAL (SIMPLE - L. PRESUM SERV MÉDICOS)</t>
  </si>
  <si>
    <t>(+) RECEITA OPERACIONAL BRUTA</t>
  </si>
  <si>
    <t>(-) ISS</t>
  </si>
  <si>
    <t>(-) ICMS</t>
  </si>
  <si>
    <t>(-) PIS</t>
  </si>
  <si>
    <t>(-) COFINS</t>
  </si>
  <si>
    <t>(=)  RECEITA OPERACIONAL LÍQUIDA</t>
  </si>
  <si>
    <t>(-) Custo de Serviços</t>
  </si>
  <si>
    <t>(=)  LUCRO OPERACIONAL BRUTO</t>
  </si>
  <si>
    <t>(-) Pró-labore</t>
  </si>
  <si>
    <t>(-) Folha de Pagamento</t>
  </si>
  <si>
    <t>(-) Encargos Sociais</t>
  </si>
  <si>
    <t>(-) Demais Encargos</t>
  </si>
  <si>
    <t>(-) Custos Fixos</t>
  </si>
  <si>
    <t>(-) Outras Despesas</t>
  </si>
  <si>
    <t>(=)  LUCRO OU PREJUÍZO OPERACIONAL (EBITDA)</t>
  </si>
  <si>
    <t>(+)  RECEITAS NÃO OPERACIONAIS</t>
  </si>
  <si>
    <t>(=)  RESULTADO DO EXERCÍCIO ANTES DA PROVISÃO DE IR/CSLL</t>
  </si>
  <si>
    <t xml:space="preserve"> Alíquota de Presunção para Atividade</t>
  </si>
  <si>
    <t xml:space="preserve"> Alíquota do IR para Atividade</t>
  </si>
  <si>
    <t xml:space="preserve"> Adicional do IR</t>
  </si>
  <si>
    <t>(=)  TOTAL IR</t>
  </si>
  <si>
    <t xml:space="preserve"> Alíquota da Presunção CSLL</t>
  </si>
  <si>
    <t xml:space="preserve"> Alíquota da CSLL da Atividade</t>
  </si>
  <si>
    <t>(=)  TOTAL CSLL</t>
  </si>
  <si>
    <t>(=)  RESULTADO DO EXERCÍCIO APÓS PROVISÕES IR E CSLL</t>
  </si>
  <si>
    <t>(-)  Custos Extras</t>
  </si>
  <si>
    <t>(=)  LUCRO / PREJUÍZO DO EXERCÍCIO</t>
  </si>
  <si>
    <t xml:space="preserve"> TABELA SIMPLES - ANEXO III</t>
  </si>
  <si>
    <t xml:space="preserve"> FATOR R</t>
  </si>
  <si>
    <t xml:space="preserve"> FAIXA DE FATURAMENTO SIMPLES</t>
  </si>
  <si>
    <t xml:space="preserve"> ALÍQUOTA PARA ATIVIDADE</t>
  </si>
  <si>
    <t xml:space="preserve"> ALÍQUOTA EFETIVA [{RBT12 x ALIQ} - PD] / RBT12</t>
  </si>
  <si>
    <t>(+)  Receitas não Operacionais</t>
  </si>
  <si>
    <t xml:space="preserve"> SIMPLES</t>
  </si>
  <si>
    <t xml:space="preserve"> ENCARGOS FOPAG</t>
  </si>
  <si>
    <t xml:space="preserve"> SIMPLES + ENCARGOS FOPAG</t>
  </si>
  <si>
    <t>OBSERVAÇÕES</t>
  </si>
  <si>
    <t>ENCARGOS FOPAG</t>
  </si>
  <si>
    <t>(+)RECEITA OPERACIONAL BRUTA</t>
  </si>
  <si>
    <t>(-)ISS</t>
  </si>
  <si>
    <t>(-)ICMS</t>
  </si>
  <si>
    <t>(-)PIS</t>
  </si>
  <si>
    <t>(-)COFINS</t>
  </si>
  <si>
    <t>(+)ISS Créditos sobre Serviços</t>
  </si>
  <si>
    <t>(+)PIS Crédito sobre Compras ou Serviços</t>
  </si>
  <si>
    <t>(+)COFINS Crédito sobre Compras ou Serviços</t>
  </si>
  <si>
    <t xml:space="preserve">(+)PIS Crédito sobre Retenços de Serviços </t>
  </si>
  <si>
    <t>(+)COFINS Crédito sobre Retenções de Serviços</t>
  </si>
  <si>
    <t>(+)IR Crédito sobre Retenções de Serviços</t>
  </si>
  <si>
    <t>(+)CSLL Crédito sobre Retenções de Serviços</t>
  </si>
  <si>
    <t>(=) RECEITA OPERACIONAL LÍQUIDA</t>
  </si>
  <si>
    <t>(-)Custo de Serviços</t>
  </si>
  <si>
    <t>(=) LUCRO OPERACIONAL BRUTO</t>
  </si>
  <si>
    <t>(-)Pró-labore</t>
  </si>
  <si>
    <t>(-)Folha de Pagamento</t>
  </si>
  <si>
    <t>(-)Encargos Sociais</t>
  </si>
  <si>
    <t>(-)Demais Encargos</t>
  </si>
  <si>
    <t>(-)Custos Fixos</t>
  </si>
  <si>
    <t>(-)Outras Despesas</t>
  </si>
  <si>
    <t>(=) LUCRO OU PREJUÍZO OPERACIONAL (EBITDA)</t>
  </si>
  <si>
    <t>(+) RECEITAS NÃO OPERACIONAIS</t>
  </si>
  <si>
    <t>(=) RESULTADO DO EXERCÍCIO ANTES DA PROVISÃO DE IR/CSLL</t>
  </si>
  <si>
    <t>(=) TOTAL IR</t>
  </si>
  <si>
    <t>(=) TOTAL CSLL</t>
  </si>
  <si>
    <t>(=) RESULTADO DO EXERCÍCIO APÓS PROVISÕES IR E CSLL</t>
  </si>
  <si>
    <t>(-) Custos Extras</t>
  </si>
  <si>
    <t>(=) LUCRO / PREJUÍZO DO EXERCÍCIO</t>
  </si>
  <si>
    <t>VALORES</t>
  </si>
  <si>
    <t>ALÍQUOTA</t>
  </si>
  <si>
    <t xml:space="preserve">ALÍQUOTA </t>
  </si>
  <si>
    <t>TRIBUTO</t>
  </si>
  <si>
    <t>VALOR</t>
  </si>
  <si>
    <t>DESCRIÇÃO</t>
  </si>
  <si>
    <t>SIMPLES</t>
  </si>
  <si>
    <t>PRESUMIDO 
SERVIÇOS EM GERAL</t>
  </si>
  <si>
    <t>PRESUMIDO EQUIPARAÇÃO
 HOSPITALAR</t>
  </si>
  <si>
    <t>REAL</t>
  </si>
  <si>
    <t>MÉTODO CONJUGADO
 SIMPLES X REAL</t>
  </si>
  <si>
    <t>Tributação</t>
  </si>
  <si>
    <t>Encargos folha</t>
  </si>
  <si>
    <t>Total</t>
  </si>
  <si>
    <t>Comparativo</t>
  </si>
  <si>
    <t>(%) ALIQ. EFETIVA</t>
  </si>
  <si>
    <t>Aliquota S. (%)</t>
  </si>
  <si>
    <t>Aliquota P.(%)</t>
  </si>
  <si>
    <t>Aliquota H. (%)</t>
  </si>
  <si>
    <t>Aliquota R. (%)</t>
  </si>
  <si>
    <t>Aliquota Conj.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</si>
</sst>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.000_-;\-* #,##0.0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1F1F1F"/>
      <name val="Aptos Display"/>
      <family val="2"/>
      <scheme val="major"/>
    </font>
    <font>
      <sz val="11"/>
      <color rgb="FF1F1F1F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43" fontId="0" fillId="2" borderId="0" xfId="1" applyFont="1" applyFill="1"/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43" fontId="2" fillId="3" borderId="0" xfId="1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43" fontId="0" fillId="2" borderId="0" xfId="0" applyNumberFormat="1" applyFill="1"/>
    <xf numFmtId="43" fontId="0" fillId="2" borderId="1" xfId="0" applyNumberFormat="1" applyFill="1" applyBorder="1"/>
    <xf numFmtId="43" fontId="2" fillId="2" borderId="1" xfId="0" applyNumberFormat="1" applyFont="1" applyFill="1" applyBorder="1"/>
    <xf numFmtId="43" fontId="0" fillId="2" borderId="0" xfId="1" applyFont="1" applyFill="1" applyAlignment="1">
      <alignment horizontal="center"/>
    </xf>
    <xf numFmtId="0" fontId="0" fillId="2" borderId="0" xfId="0" applyFill="1" applyAlignment="1">
      <alignment horizontal="right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44" fontId="5" fillId="0" borderId="2" xfId="0" applyNumberFormat="1" applyFont="1" applyBorder="1" applyAlignment="1">
      <alignment horizontal="center" vertical="center" wrapText="1" readingOrder="1"/>
    </xf>
    <xf numFmtId="44" fontId="4" fillId="0" borderId="2" xfId="0" applyNumberFormat="1" applyFont="1" applyBorder="1" applyAlignment="1">
      <alignment horizontal="center" vertical="center" wrapText="1" readingOrder="1"/>
    </xf>
    <xf numFmtId="10" fontId="0" fillId="2" borderId="1" xfId="2" applyNumberFormat="1" applyFont="1" applyFill="1" applyBorder="1"/>
    <xf numFmtId="0" fontId="5" fillId="0" borderId="2" xfId="0" applyFont="1" applyBorder="1" applyAlignment="1">
      <alignment horizontal="center" vertical="center" readingOrder="1"/>
    </xf>
    <xf numFmtId="9" fontId="5" fillId="0" borderId="2" xfId="2" applyFont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43" fontId="2" fillId="3" borderId="0" xfId="0" applyNumberFormat="1" applyFont="1" applyFill="1" applyAlignment="1">
      <alignment horizontal="center"/>
    </xf>
    <xf numFmtId="43" fontId="1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0" fontId="2" fillId="4" borderId="0" xfId="0" applyFont="1" applyFill="1" applyAlignment="1">
      <alignment horizontal="right"/>
    </xf>
    <xf numFmtId="43" fontId="2" fillId="3" borderId="0" xfId="1" applyFont="1" applyFill="1" applyAlignment="1">
      <alignment horizontal="right"/>
    </xf>
    <xf numFmtId="43" fontId="0" fillId="2" borderId="0" xfId="1" applyFont="1" applyFill="1" applyAlignment="1">
      <alignment horizontal="right"/>
    </xf>
    <xf numFmtId="43" fontId="2" fillId="3" borderId="0" xfId="0" applyNumberFormat="1" applyFont="1" applyFill="1" applyAlignment="1">
      <alignment horizontal="right"/>
    </xf>
    <xf numFmtId="43" fontId="1" fillId="2" borderId="0" xfId="1" applyFont="1" applyFill="1" applyAlignment="1">
      <alignment horizontal="right"/>
    </xf>
    <xf numFmtId="43" fontId="2" fillId="2" borderId="0" xfId="1" applyFont="1" applyFill="1" applyAlignment="1">
      <alignment horizontal="right"/>
    </xf>
    <xf numFmtId="164" fontId="0" fillId="2" borderId="0" xfId="2" applyNumberFormat="1" applyFont="1" applyFill="1" applyAlignment="1">
      <alignment horizontal="right"/>
    </xf>
    <xf numFmtId="10" fontId="0" fillId="2" borderId="0" xfId="2" applyNumberFormat="1" applyFont="1" applyFill="1" applyAlignment="1">
      <alignment horizontal="right"/>
    </xf>
    <xf numFmtId="164" fontId="2" fillId="2" borderId="0" xfId="2" applyNumberFormat="1" applyFont="1" applyFill="1" applyAlignment="1">
      <alignment horizontal="right"/>
    </xf>
    <xf numFmtId="0" fontId="4" fillId="0" borderId="2" xfId="0" applyFont="1" applyBorder="1" applyAlignment="1">
      <alignment horizontal="right" vertical="center" wrapText="1" readingOrder="1"/>
    </xf>
    <xf numFmtId="44" fontId="5" fillId="0" borderId="2" xfId="0" applyNumberFormat="1" applyFont="1" applyBorder="1" applyAlignment="1">
      <alignment horizontal="right" vertical="center" wrapText="1" readingOrder="1"/>
    </xf>
    <xf numFmtId="0" fontId="5" fillId="0" borderId="2" xfId="0" applyFont="1" applyBorder="1" applyAlignment="1">
      <alignment horizontal="right" vertical="center" readingOrder="1"/>
    </xf>
    <xf numFmtId="44" fontId="4" fillId="0" borderId="2" xfId="0" applyNumberFormat="1" applyFont="1" applyBorder="1" applyAlignment="1">
      <alignment horizontal="right" vertical="center" wrapText="1" readingOrder="1"/>
    </xf>
    <xf numFmtId="9" fontId="5" fillId="0" borderId="2" xfId="2" applyFont="1" applyBorder="1" applyAlignment="1">
      <alignment horizontal="right" vertical="center" wrapText="1" readingOrder="1"/>
    </xf>
    <xf numFmtId="10" fontId="0" fillId="2" borderId="0" xfId="0" applyNumberFormat="1" applyFill="1" applyAlignment="1">
      <alignment horizontal="center"/>
    </xf>
    <xf numFmtId="43" fontId="0" fillId="2" borderId="0" xfId="0" applyNumberFormat="1" applyFill="1" applyAlignment="1">
      <alignment horizontal="center"/>
    </xf>
    <xf numFmtId="43" fontId="2" fillId="2" borderId="1" xfId="0" applyNumberFormat="1" applyFont="1" applyFill="1" applyBorder="1" applyAlignment="1">
      <alignment horizontal="center"/>
    </xf>
    <xf numFmtId="43" fontId="2" fillId="2" borderId="0" xfId="0" applyNumberFormat="1" applyFont="1" applyFill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64" fontId="2" fillId="2" borderId="0" xfId="2" applyNumberFormat="1" applyFont="1" applyFill="1" applyBorder="1" applyAlignment="1">
      <alignment horizontal="center"/>
    </xf>
    <xf numFmtId="43" fontId="0" fillId="5" borderId="0" xfId="1" applyFont="1" applyFill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2" applyFont="1"/>
    <xf numFmtId="10" fontId="0" fillId="0" borderId="0" xfId="2" applyNumberFormat="1" applyFont="1"/>
    <xf numFmtId="43" fontId="0" fillId="0" borderId="0" xfId="1" applyFont="1"/>
    <xf numFmtId="0" fontId="0" fillId="0" borderId="0" xfId="0" applyAlignment="1">
      <alignment horizontal="right"/>
    </xf>
    <xf numFmtId="0" fontId="0" fillId="0" borderId="0" xfId="0" quotePrefix="1"/>
    <xf numFmtId="10" fontId="2" fillId="2" borderId="1" xfId="2" applyNumberFormat="1" applyFont="1" applyFill="1" applyBorder="1" applyAlignment="1">
      <alignment horizontal="center"/>
    </xf>
    <xf numFmtId="165" fontId="0" fillId="2" borderId="0" xfId="0" applyNumberFormat="1" applyFill="1" applyAlignment="1">
      <alignment horizontal="right"/>
    </xf>
    <xf numFmtId="10" fontId="0" fillId="2" borderId="0" xfId="2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C872-49D0-4CEF-BC8B-16F0A99D110A}">
  <sheetPr codeName="Planilha1"/>
  <dimension ref="A1:D8"/>
  <sheetViews>
    <sheetView workbookViewId="0">
      <selection activeCell="A9" sqref="A9:XFD15"/>
    </sheetView>
  </sheetViews>
  <sheetFormatPr defaultColWidth="8.77734375" defaultRowHeight="14.4" x14ac:dyDescent="0.3"/>
  <cols>
    <col min="1" max="1" width="50.44140625" style="1" bestFit="1" customWidth="1"/>
    <col min="2" max="2" width="18.44140625" style="24" customWidth="1"/>
    <col min="3" max="3" width="24.6640625" style="24" customWidth="1"/>
    <col min="4" max="4" width="23.109375" style="14" customWidth="1"/>
    <col min="5" max="5" width="12.77734375" style="1" bestFit="1" customWidth="1"/>
    <col min="6" max="16384" width="8.77734375" style="1"/>
  </cols>
  <sheetData>
    <row r="1" spans="1:4" ht="15" thickBot="1" x14ac:dyDescent="0.35">
      <c r="A1" s="15" t="s">
        <v>14</v>
      </c>
      <c r="B1" s="15" t="s">
        <v>15</v>
      </c>
      <c r="C1" s="15" t="s">
        <v>16</v>
      </c>
      <c r="D1" s="40" t="s">
        <v>17</v>
      </c>
    </row>
    <row r="2" spans="1:4" ht="15" thickBot="1" x14ac:dyDescent="0.35">
      <c r="A2" s="16" t="s">
        <v>18</v>
      </c>
      <c r="B2" s="17" t="s">
        <v>19</v>
      </c>
      <c r="C2" s="18">
        <v>7475.2</v>
      </c>
      <c r="D2" s="41">
        <v>7475.2</v>
      </c>
    </row>
    <row r="3" spans="1:4" ht="15" thickBot="1" x14ac:dyDescent="0.35">
      <c r="A3" s="16" t="s">
        <v>20</v>
      </c>
      <c r="B3" s="17" t="s">
        <v>19</v>
      </c>
      <c r="C3" s="18">
        <v>303.76</v>
      </c>
      <c r="D3" s="41">
        <v>303.76</v>
      </c>
    </row>
    <row r="4" spans="1:4" ht="15" thickBot="1" x14ac:dyDescent="0.35">
      <c r="A4" s="16" t="s">
        <v>21</v>
      </c>
      <c r="B4" s="17" t="s">
        <v>19</v>
      </c>
      <c r="C4" s="18">
        <v>1761.81</v>
      </c>
      <c r="D4" s="41">
        <v>1761.81</v>
      </c>
    </row>
    <row r="5" spans="1:4" ht="15" thickBot="1" x14ac:dyDescent="0.35">
      <c r="A5" s="16" t="s">
        <v>22</v>
      </c>
      <c r="B5" s="18">
        <v>2430.08</v>
      </c>
      <c r="C5" s="18">
        <v>2430.08</v>
      </c>
      <c r="D5" s="41">
        <v>2430.08</v>
      </c>
    </row>
    <row r="6" spans="1:4" ht="15" thickBot="1" x14ac:dyDescent="0.35">
      <c r="A6" s="16" t="s">
        <v>23</v>
      </c>
      <c r="B6" s="21" t="s">
        <v>24</v>
      </c>
      <c r="C6" s="21" t="s">
        <v>29</v>
      </c>
      <c r="D6" s="42" t="s">
        <v>29</v>
      </c>
    </row>
    <row r="7" spans="1:4" ht="15" thickBot="1" x14ac:dyDescent="0.35">
      <c r="A7" s="16" t="s">
        <v>25</v>
      </c>
      <c r="B7" s="21" t="s">
        <v>24</v>
      </c>
      <c r="C7" s="21" t="s">
        <v>29</v>
      </c>
      <c r="D7" s="42" t="s">
        <v>29</v>
      </c>
    </row>
    <row r="8" spans="1:4" ht="15" thickBot="1" x14ac:dyDescent="0.35">
      <c r="A8" s="16" t="s">
        <v>26</v>
      </c>
      <c r="B8" s="19">
        <v>2430.08</v>
      </c>
      <c r="C8" s="19">
        <v>11970.85</v>
      </c>
      <c r="D8" s="43">
        <v>11970.85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3C7B-7B66-47AC-9B9D-9C113BBCDE96}">
  <sheetPr codeName="Planilha2"/>
  <dimension ref="A1:E4"/>
  <sheetViews>
    <sheetView workbookViewId="0">
      <selection activeCell="C9" sqref="C9"/>
    </sheetView>
  </sheetViews>
  <sheetFormatPr defaultColWidth="8.77734375" defaultRowHeight="14.4" x14ac:dyDescent="0.3"/>
  <cols>
    <col min="1" max="1" width="50.44140625" style="1" bestFit="1" customWidth="1"/>
    <col min="2" max="2" width="13.33203125" style="1" bestFit="1" customWidth="1"/>
    <col min="3" max="3" width="18.44140625" style="24" customWidth="1"/>
    <col min="4" max="4" width="24.6640625" style="24" customWidth="1"/>
    <col min="5" max="5" width="23.109375" style="14" customWidth="1"/>
    <col min="6" max="6" width="12.77734375" style="1" bestFit="1" customWidth="1"/>
    <col min="7" max="16384" width="8.77734375" style="1"/>
  </cols>
  <sheetData>
    <row r="1" spans="1:5" ht="15" thickBot="1" x14ac:dyDescent="0.35">
      <c r="A1" s="1" t="s">
        <v>110</v>
      </c>
      <c r="B1" s="1" t="s">
        <v>105</v>
      </c>
      <c r="C1" s="24" t="s">
        <v>15</v>
      </c>
      <c r="D1" s="24" t="s">
        <v>16</v>
      </c>
      <c r="E1" s="24" t="s">
        <v>17</v>
      </c>
    </row>
    <row r="2" spans="1:5" ht="15" thickBot="1" x14ac:dyDescent="0.35">
      <c r="A2" s="16" t="s">
        <v>27</v>
      </c>
      <c r="B2" s="19">
        <v>30376</v>
      </c>
      <c r="D2" s="19"/>
      <c r="E2" s="43"/>
    </row>
    <row r="3" spans="1:5" ht="15" thickBot="1" x14ac:dyDescent="0.35">
      <c r="A3" s="16" t="s">
        <v>28</v>
      </c>
      <c r="B3" s="16"/>
      <c r="C3" s="22">
        <v>0.08</v>
      </c>
      <c r="D3" s="22">
        <v>0.39408908348696342</v>
      </c>
      <c r="E3" s="44">
        <v>0.39408908348696342</v>
      </c>
    </row>
    <row r="4" spans="1:5" ht="15" thickBot="1" x14ac:dyDescent="0.35">
      <c r="A4" s="16" t="s">
        <v>31</v>
      </c>
      <c r="B4" s="16"/>
      <c r="C4" s="22">
        <v>2.4044485781568481E-2</v>
      </c>
      <c r="D4" s="22">
        <v>0.11844586705717057</v>
      </c>
      <c r="E4" s="44">
        <v>0.11844586705717057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96FF-8606-4A85-ABCB-AD36DAA89867}">
  <sheetPr codeName="Planilha3"/>
  <dimension ref="A1:D25"/>
  <sheetViews>
    <sheetView workbookViewId="0">
      <selection activeCell="B17" sqref="B17"/>
    </sheetView>
  </sheetViews>
  <sheetFormatPr defaultColWidth="8.77734375" defaultRowHeight="14.4" x14ac:dyDescent="0.3"/>
  <cols>
    <col min="1" max="1" width="50.44140625" style="1" bestFit="1" customWidth="1"/>
    <col min="2" max="3" width="13.6640625" style="24" bestFit="1" customWidth="1"/>
    <col min="4" max="4" width="13.109375" style="14" bestFit="1" customWidth="1"/>
    <col min="5" max="16384" width="8.77734375" style="1"/>
  </cols>
  <sheetData>
    <row r="1" spans="1:4" x14ac:dyDescent="0.3">
      <c r="A1" s="9" t="s">
        <v>6</v>
      </c>
      <c r="B1" s="23" t="s">
        <v>74</v>
      </c>
      <c r="C1" s="23" t="s">
        <v>4</v>
      </c>
      <c r="D1" s="31" t="s">
        <v>5</v>
      </c>
    </row>
    <row r="2" spans="1:4" x14ac:dyDescent="0.3">
      <c r="A2" s="4" t="s">
        <v>38</v>
      </c>
      <c r="B2" s="5"/>
      <c r="C2" s="6">
        <v>101066</v>
      </c>
      <c r="D2" s="32">
        <v>1212792</v>
      </c>
    </row>
    <row r="3" spans="1:4" x14ac:dyDescent="0.3">
      <c r="A3" s="1" t="s">
        <v>65</v>
      </c>
      <c r="C3" s="13"/>
      <c r="D3" s="33"/>
    </row>
    <row r="4" spans="1:4" x14ac:dyDescent="0.3">
      <c r="A4" s="1" t="s">
        <v>66</v>
      </c>
      <c r="C4" s="13"/>
      <c r="D4" s="33"/>
    </row>
    <row r="5" spans="1:4" x14ac:dyDescent="0.3">
      <c r="A5" s="1" t="s">
        <v>67</v>
      </c>
      <c r="B5" s="24" t="s">
        <v>13</v>
      </c>
      <c r="C5" s="13"/>
      <c r="D5" s="33"/>
    </row>
    <row r="6" spans="1:4" x14ac:dyDescent="0.3">
      <c r="A6" s="1" t="s">
        <v>68</v>
      </c>
      <c r="B6" s="25">
        <v>0.16</v>
      </c>
      <c r="C6" s="13">
        <v>16170.56</v>
      </c>
      <c r="D6" s="33">
        <v>194046.72</v>
      </c>
    </row>
    <row r="7" spans="1:4" x14ac:dyDescent="0.3">
      <c r="A7" s="1" t="s">
        <v>69</v>
      </c>
      <c r="C7" s="13"/>
      <c r="D7" s="33"/>
    </row>
    <row r="8" spans="1:4" x14ac:dyDescent="0.3">
      <c r="A8" s="8" t="s">
        <v>43</v>
      </c>
      <c r="B8" s="26"/>
      <c r="C8" s="27">
        <v>101066</v>
      </c>
      <c r="D8" s="34">
        <v>1212792</v>
      </c>
    </row>
    <row r="9" spans="1:4" x14ac:dyDescent="0.3">
      <c r="A9" s="1" t="s">
        <v>44</v>
      </c>
      <c r="C9" s="28">
        <v>50317</v>
      </c>
      <c r="D9" s="35">
        <v>603804</v>
      </c>
    </row>
    <row r="10" spans="1:4" x14ac:dyDescent="0.3">
      <c r="A10" s="8" t="s">
        <v>45</v>
      </c>
      <c r="B10" s="26"/>
      <c r="C10" s="7">
        <v>50749</v>
      </c>
      <c r="D10" s="32">
        <v>608988</v>
      </c>
    </row>
    <row r="11" spans="1:4" x14ac:dyDescent="0.3">
      <c r="A11" s="1" t="s">
        <v>46</v>
      </c>
      <c r="C11" s="13">
        <v>7000</v>
      </c>
      <c r="D11" s="33">
        <v>84000</v>
      </c>
    </row>
    <row r="12" spans="1:4" x14ac:dyDescent="0.3">
      <c r="A12" s="1" t="s">
        <v>47</v>
      </c>
      <c r="C12" s="13">
        <v>32584</v>
      </c>
      <c r="D12" s="33">
        <v>391008</v>
      </c>
    </row>
    <row r="13" spans="1:4" x14ac:dyDescent="0.3">
      <c r="A13" s="1" t="s">
        <v>48</v>
      </c>
      <c r="C13" s="13"/>
      <c r="D13" s="33"/>
    </row>
    <row r="14" spans="1:4" x14ac:dyDescent="0.3">
      <c r="A14" s="1" t="s">
        <v>49</v>
      </c>
      <c r="C14" s="13"/>
      <c r="D14" s="33"/>
    </row>
    <row r="15" spans="1:4" x14ac:dyDescent="0.3">
      <c r="A15" s="1" t="s">
        <v>50</v>
      </c>
      <c r="C15" s="13">
        <v>47888</v>
      </c>
      <c r="D15" s="33">
        <v>574656</v>
      </c>
    </row>
    <row r="16" spans="1:4" x14ac:dyDescent="0.3">
      <c r="A16" s="1" t="s">
        <v>51</v>
      </c>
      <c r="C16" s="13"/>
      <c r="D16" s="33"/>
    </row>
    <row r="17" spans="1:4" x14ac:dyDescent="0.3">
      <c r="A17" s="8" t="s">
        <v>52</v>
      </c>
      <c r="B17" s="26"/>
      <c r="C17" s="7">
        <v>-36723</v>
      </c>
      <c r="D17" s="32">
        <v>-440676</v>
      </c>
    </row>
    <row r="18" spans="1:4" x14ac:dyDescent="0.3">
      <c r="A18" s="3" t="s">
        <v>70</v>
      </c>
      <c r="B18" s="29"/>
      <c r="C18" s="30">
        <v>1516</v>
      </c>
      <c r="D18" s="36">
        <v>18192</v>
      </c>
    </row>
    <row r="19" spans="1:4" x14ac:dyDescent="0.3">
      <c r="A19" s="3" t="s">
        <v>63</v>
      </c>
      <c r="C19" s="13">
        <v>5795</v>
      </c>
      <c r="D19" s="33">
        <v>69540</v>
      </c>
    </row>
    <row r="20" spans="1:4" x14ac:dyDescent="0.3">
      <c r="A20" s="8" t="s">
        <v>64</v>
      </c>
      <c r="B20" s="26"/>
      <c r="C20" s="7">
        <v>-41002</v>
      </c>
      <c r="D20" s="32">
        <v>-492024</v>
      </c>
    </row>
    <row r="21" spans="1:4" x14ac:dyDescent="0.3">
      <c r="A21" s="3" t="s">
        <v>71</v>
      </c>
      <c r="C21" s="30">
        <v>16170.56</v>
      </c>
      <c r="D21" s="37">
        <v>0.16</v>
      </c>
    </row>
    <row r="22" spans="1:4" x14ac:dyDescent="0.3">
      <c r="A22" s="3" t="s">
        <v>72</v>
      </c>
      <c r="C22" s="30">
        <v>2430.08</v>
      </c>
      <c r="D22" s="38">
        <v>2.4044485781568481E-2</v>
      </c>
    </row>
    <row r="23" spans="1:4" x14ac:dyDescent="0.3">
      <c r="A23" s="3" t="s">
        <v>73</v>
      </c>
      <c r="C23" s="30">
        <v>18600.64</v>
      </c>
      <c r="D23" s="39">
        <v>0.18404448578156848</v>
      </c>
    </row>
    <row r="25" spans="1:4" x14ac:dyDescent="0.3">
      <c r="A25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DA3F-E672-40E7-AB36-35317A65A08C}">
  <sheetPr codeName="Planilha4"/>
  <dimension ref="A1:I28"/>
  <sheetViews>
    <sheetView topLeftCell="A7" workbookViewId="0">
      <selection activeCell="C30" sqref="C30"/>
    </sheetView>
  </sheetViews>
  <sheetFormatPr defaultColWidth="8.77734375" defaultRowHeight="14.4" x14ac:dyDescent="0.3"/>
  <cols>
    <col min="1" max="1" width="50.44140625" style="1" bestFit="1" customWidth="1"/>
    <col min="2" max="2" width="8.77734375" style="24"/>
    <col min="3" max="3" width="13.6640625" style="24" bestFit="1" customWidth="1"/>
    <col min="4" max="4" width="13.109375" style="14" bestFit="1" customWidth="1"/>
    <col min="5" max="5" width="8.77734375" style="1"/>
    <col min="6" max="6" width="8.77734375" style="2"/>
    <col min="7" max="7" width="10.44140625" style="2" bestFit="1" customWidth="1"/>
    <col min="8" max="8" width="9.44140625" style="2" bestFit="1" customWidth="1"/>
    <col min="9" max="9" width="8.77734375" style="2"/>
    <col min="10" max="16384" width="8.77734375" style="1"/>
  </cols>
  <sheetData>
    <row r="1" spans="1:4" x14ac:dyDescent="0.3">
      <c r="A1" s="9" t="s">
        <v>6</v>
      </c>
      <c r="B1" s="23" t="s">
        <v>106</v>
      </c>
      <c r="C1" s="23" t="s">
        <v>4</v>
      </c>
      <c r="D1" s="31" t="s">
        <v>5</v>
      </c>
    </row>
    <row r="2" spans="1:4" x14ac:dyDescent="0.3">
      <c r="A2" s="4" t="s">
        <v>38</v>
      </c>
      <c r="B2" s="5"/>
      <c r="C2" s="6">
        <v>101066</v>
      </c>
      <c r="D2" s="32">
        <v>1212792</v>
      </c>
    </row>
    <row r="3" spans="1:4" x14ac:dyDescent="0.3">
      <c r="A3" s="1" t="s">
        <v>39</v>
      </c>
      <c r="B3" s="25">
        <v>0.05</v>
      </c>
      <c r="C3" s="13">
        <v>5053.3</v>
      </c>
      <c r="D3" s="33">
        <v>60639.600000000006</v>
      </c>
    </row>
    <row r="4" spans="1:4" x14ac:dyDescent="0.3">
      <c r="A4" s="1" t="s">
        <v>40</v>
      </c>
      <c r="B4" s="25">
        <v>0.18</v>
      </c>
      <c r="C4" s="13"/>
      <c r="D4" s="33"/>
    </row>
    <row r="5" spans="1:4" x14ac:dyDescent="0.3">
      <c r="A5" s="1" t="s">
        <v>41</v>
      </c>
      <c r="B5" s="45">
        <v>6.4999999999999997E-3</v>
      </c>
      <c r="C5" s="13">
        <v>656.92899999999997</v>
      </c>
      <c r="D5" s="33">
        <v>7883.1479999999992</v>
      </c>
    </row>
    <row r="6" spans="1:4" x14ac:dyDescent="0.3">
      <c r="A6" s="1" t="s">
        <v>42</v>
      </c>
      <c r="B6" s="25">
        <v>0.03</v>
      </c>
      <c r="C6" s="13">
        <v>3031.98</v>
      </c>
      <c r="D6" s="33">
        <v>36383.760000000002</v>
      </c>
    </row>
    <row r="7" spans="1:4" x14ac:dyDescent="0.3">
      <c r="A7" s="8" t="s">
        <v>43</v>
      </c>
      <c r="B7" s="26"/>
      <c r="C7" s="27">
        <v>92323.790999999997</v>
      </c>
      <c r="D7" s="34">
        <v>1107885.4920000001</v>
      </c>
    </row>
    <row r="8" spans="1:4" x14ac:dyDescent="0.3">
      <c r="A8" s="1" t="s">
        <v>44</v>
      </c>
      <c r="C8" s="28">
        <v>50317</v>
      </c>
      <c r="D8" s="35">
        <v>603804</v>
      </c>
    </row>
    <row r="9" spans="1:4" x14ac:dyDescent="0.3">
      <c r="A9" s="8" t="s">
        <v>45</v>
      </c>
      <c r="B9" s="26"/>
      <c r="C9" s="7">
        <v>42006.790999999997</v>
      </c>
      <c r="D9" s="32">
        <v>504081.49200000009</v>
      </c>
    </row>
    <row r="10" spans="1:4" x14ac:dyDescent="0.3">
      <c r="A10" s="1" t="s">
        <v>46</v>
      </c>
      <c r="C10" s="13">
        <v>7000</v>
      </c>
      <c r="D10" s="33">
        <v>84000</v>
      </c>
    </row>
    <row r="11" spans="1:4" x14ac:dyDescent="0.3">
      <c r="A11" s="1" t="s">
        <v>47</v>
      </c>
      <c r="C11" s="13">
        <v>32584</v>
      </c>
      <c r="D11" s="33">
        <v>391008</v>
      </c>
    </row>
    <row r="12" spans="1:4" x14ac:dyDescent="0.3">
      <c r="A12" s="1" t="s">
        <v>48</v>
      </c>
      <c r="C12" s="13"/>
      <c r="D12" s="33"/>
    </row>
    <row r="13" spans="1:4" x14ac:dyDescent="0.3">
      <c r="A13" s="1" t="s">
        <v>49</v>
      </c>
      <c r="C13" s="13"/>
      <c r="D13" s="33"/>
    </row>
    <row r="14" spans="1:4" x14ac:dyDescent="0.3">
      <c r="A14" s="1" t="s">
        <v>50</v>
      </c>
      <c r="C14" s="13">
        <v>47888</v>
      </c>
      <c r="D14" s="33">
        <v>574656</v>
      </c>
    </row>
    <row r="15" spans="1:4" x14ac:dyDescent="0.3">
      <c r="A15" s="1" t="s">
        <v>51</v>
      </c>
      <c r="C15" s="13"/>
      <c r="D15" s="33"/>
    </row>
    <row r="16" spans="1:4" x14ac:dyDescent="0.3">
      <c r="A16" s="8" t="s">
        <v>52</v>
      </c>
      <c r="B16" s="26"/>
      <c r="C16" s="7">
        <v>-45465.209000000003</v>
      </c>
      <c r="D16" s="32">
        <v>-545582.50799999991</v>
      </c>
    </row>
    <row r="17" spans="1:4" x14ac:dyDescent="0.3">
      <c r="A17" s="3" t="s">
        <v>53</v>
      </c>
      <c r="B17" s="29"/>
      <c r="C17" s="30">
        <v>1516</v>
      </c>
      <c r="D17" s="36">
        <v>18192</v>
      </c>
    </row>
    <row r="18" spans="1:4" x14ac:dyDescent="0.3">
      <c r="A18" s="8" t="s">
        <v>54</v>
      </c>
      <c r="B18" s="26"/>
      <c r="C18" s="7">
        <v>-43949.209000000003</v>
      </c>
      <c r="D18" s="32">
        <v>-563774.50799999991</v>
      </c>
    </row>
    <row r="19" spans="1:4" x14ac:dyDescent="0.3">
      <c r="A19" s="1" t="s">
        <v>55</v>
      </c>
      <c r="B19" s="25">
        <v>0.32</v>
      </c>
      <c r="C19" s="13">
        <v>32341.119999999999</v>
      </c>
      <c r="D19" s="33">
        <v>388093.44</v>
      </c>
    </row>
    <row r="20" spans="1:4" x14ac:dyDescent="0.3">
      <c r="A20" s="1" t="s">
        <v>56</v>
      </c>
      <c r="B20" s="25">
        <v>0.15</v>
      </c>
      <c r="C20" s="13">
        <v>4851.1679999999997</v>
      </c>
      <c r="D20" s="33">
        <v>58214.015999999996</v>
      </c>
    </row>
    <row r="21" spans="1:4" x14ac:dyDescent="0.3">
      <c r="A21" s="1" t="s">
        <v>57</v>
      </c>
      <c r="B21" s="25">
        <v>0.1</v>
      </c>
      <c r="C21" s="13"/>
      <c r="D21" s="33"/>
    </row>
    <row r="22" spans="1:4" x14ac:dyDescent="0.3">
      <c r="A22" s="8" t="s">
        <v>58</v>
      </c>
      <c r="B22" s="26"/>
      <c r="C22" s="7">
        <v>4851.1679999999997</v>
      </c>
      <c r="D22" s="32">
        <v>58214.015999999996</v>
      </c>
    </row>
    <row r="23" spans="1:4" x14ac:dyDescent="0.3">
      <c r="A23" s="1" t="s">
        <v>59</v>
      </c>
      <c r="B23" s="25">
        <v>0.32</v>
      </c>
      <c r="C23" s="13">
        <v>32341.119999999999</v>
      </c>
      <c r="D23" s="33">
        <v>388093.44</v>
      </c>
    </row>
    <row r="24" spans="1:4" x14ac:dyDescent="0.3">
      <c r="A24" s="1" t="s">
        <v>60</v>
      </c>
      <c r="B24" s="25">
        <v>0.09</v>
      </c>
      <c r="C24" s="13">
        <v>2910.7007999999996</v>
      </c>
      <c r="D24" s="33">
        <v>34928.409599999999</v>
      </c>
    </row>
    <row r="25" spans="1:4" x14ac:dyDescent="0.3">
      <c r="A25" s="8" t="s">
        <v>61</v>
      </c>
      <c r="B25" s="26"/>
      <c r="C25" s="7">
        <v>2910.7007999999996</v>
      </c>
      <c r="D25" s="32">
        <v>34928.409599999999</v>
      </c>
    </row>
    <row r="26" spans="1:4" x14ac:dyDescent="0.3">
      <c r="A26" s="3" t="s">
        <v>62</v>
      </c>
      <c r="B26" s="29"/>
      <c r="C26" s="30">
        <v>-51711.077799999999</v>
      </c>
      <c r="D26" s="36">
        <v>-656916.93359999987</v>
      </c>
    </row>
    <row r="27" spans="1:4" x14ac:dyDescent="0.3">
      <c r="A27" s="1" t="s">
        <v>63</v>
      </c>
      <c r="C27" s="13">
        <v>5795</v>
      </c>
      <c r="D27" s="33">
        <v>69540</v>
      </c>
    </row>
    <row r="28" spans="1:4" x14ac:dyDescent="0.3">
      <c r="A28" s="3" t="s">
        <v>64</v>
      </c>
      <c r="B28" s="29"/>
      <c r="C28" s="30">
        <v>-57506.077799999999</v>
      </c>
      <c r="D28" s="36">
        <v>-726456.93359999987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1B38-C8DB-4786-8DCC-DFFA839D5EC5}">
  <sheetPr codeName="Planilha5"/>
  <dimension ref="A1:H7"/>
  <sheetViews>
    <sheetView workbookViewId="0">
      <selection activeCell="A3" sqref="A3"/>
    </sheetView>
  </sheetViews>
  <sheetFormatPr defaultColWidth="8.77734375" defaultRowHeight="14.4" x14ac:dyDescent="0.3"/>
  <cols>
    <col min="1" max="1" width="50.44140625" style="1" bestFit="1" customWidth="1"/>
    <col min="2" max="2" width="13.6640625" style="24" bestFit="1" customWidth="1"/>
    <col min="3" max="3" width="13.109375" style="14" bestFit="1" customWidth="1"/>
    <col min="4" max="4" width="8.77734375" style="1"/>
    <col min="5" max="5" width="8.77734375" style="2"/>
    <col min="6" max="6" width="10.44140625" style="2" bestFit="1" customWidth="1"/>
    <col min="7" max="7" width="9.44140625" style="2" bestFit="1" customWidth="1"/>
    <col min="8" max="8" width="8.77734375" style="2"/>
    <col min="9" max="16384" width="8.77734375" style="1"/>
  </cols>
  <sheetData>
    <row r="1" spans="1:3" x14ac:dyDescent="0.3">
      <c r="A1" s="1" t="s">
        <v>108</v>
      </c>
      <c r="B1" s="24" t="s">
        <v>105</v>
      </c>
    </row>
    <row r="2" spans="1:3" x14ac:dyDescent="0.3">
      <c r="A2" s="3" t="s">
        <v>7</v>
      </c>
      <c r="B2" s="46">
        <v>4851.1679999999997</v>
      </c>
    </row>
    <row r="3" spans="1:3" x14ac:dyDescent="0.3">
      <c r="A3" s="3" t="s">
        <v>8</v>
      </c>
      <c r="B3" s="46">
        <v>2910.7007999999996</v>
      </c>
    </row>
    <row r="4" spans="1:3" x14ac:dyDescent="0.3">
      <c r="A4" s="3" t="s">
        <v>1</v>
      </c>
      <c r="B4" s="46">
        <v>656.92899999999997</v>
      </c>
    </row>
    <row r="5" spans="1:3" x14ac:dyDescent="0.3">
      <c r="A5" s="3" t="s">
        <v>2</v>
      </c>
      <c r="B5" s="46">
        <v>3031.98</v>
      </c>
    </row>
    <row r="6" spans="1:3" x14ac:dyDescent="0.3">
      <c r="A6" s="3" t="s">
        <v>0</v>
      </c>
      <c r="B6" s="46">
        <v>5053.3</v>
      </c>
    </row>
    <row r="7" spans="1:3" ht="15" thickBot="1" x14ac:dyDescent="0.35">
      <c r="A7" s="3" t="s">
        <v>34</v>
      </c>
      <c r="B7" s="47">
        <v>16504.077799999999</v>
      </c>
      <c r="C7" s="3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EECA-A808-48A2-8AE8-1E1ABC323669}">
  <sheetPr codeName="Planilha6"/>
  <dimension ref="A1:H5"/>
  <sheetViews>
    <sheetView workbookViewId="0">
      <selection activeCell="D3" sqref="D3"/>
    </sheetView>
  </sheetViews>
  <sheetFormatPr defaultColWidth="8.77734375" defaultRowHeight="14.4" x14ac:dyDescent="0.3"/>
  <cols>
    <col min="1" max="1" width="50.44140625" style="1" bestFit="1" customWidth="1"/>
    <col min="2" max="2" width="11.44140625" style="24" bestFit="1" customWidth="1"/>
    <col min="3" max="3" width="13.109375" style="14" bestFit="1" customWidth="1"/>
    <col min="4" max="4" width="8.77734375" style="1"/>
    <col min="5" max="5" width="8.77734375" style="2"/>
    <col min="6" max="6" width="10.44140625" style="2" bestFit="1" customWidth="1"/>
    <col min="7" max="7" width="9.44140625" style="2" bestFit="1" customWidth="1"/>
    <col min="8" max="8" width="8.77734375" style="2"/>
    <col min="9" max="16384" width="8.77734375" style="1"/>
  </cols>
  <sheetData>
    <row r="1" spans="1:3" x14ac:dyDescent="0.3">
      <c r="A1" s="1" t="s">
        <v>110</v>
      </c>
      <c r="B1" s="24" t="s">
        <v>105</v>
      </c>
      <c r="C1" s="14" t="s">
        <v>120</v>
      </c>
    </row>
    <row r="2" spans="1:3" ht="15" thickBot="1" x14ac:dyDescent="0.35">
      <c r="A2" s="3" t="s">
        <v>75</v>
      </c>
      <c r="B2" s="47">
        <v>11970.85</v>
      </c>
      <c r="C2" s="38">
        <f>B2/'L. PRESUMIDO SERV. NORMAIS'!$C$2</f>
        <v>0.11844586705717057</v>
      </c>
    </row>
    <row r="3" spans="1:3" x14ac:dyDescent="0.3">
      <c r="A3" s="3" t="s">
        <v>30</v>
      </c>
      <c r="B3" s="48">
        <v>28474.927799999998</v>
      </c>
      <c r="C3" s="38">
        <f>B3/'L. PRESUMIDO SERV. NORMAIS'!$C$2</f>
        <v>0.28174586705717053</v>
      </c>
    </row>
    <row r="4" spans="1:3" ht="15" thickBot="1" x14ac:dyDescent="0.35">
      <c r="A4" s="3" t="s">
        <v>9</v>
      </c>
      <c r="B4" s="58">
        <v>0.28174586705717053</v>
      </c>
      <c r="C4" s="38"/>
    </row>
    <row r="5" spans="1:3" ht="15" thickBot="1" x14ac:dyDescent="0.35">
      <c r="A5" s="3" t="s">
        <v>36</v>
      </c>
      <c r="B5" s="47">
        <v>-118491.45359999998</v>
      </c>
      <c r="C5" s="3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B54A-959A-4CD3-A659-7839433EFCFB}">
  <sheetPr codeName="Planilha7"/>
  <dimension ref="A1:D29"/>
  <sheetViews>
    <sheetView workbookViewId="0">
      <selection activeCell="F30" sqref="F30"/>
    </sheetView>
  </sheetViews>
  <sheetFormatPr defaultColWidth="8.77734375" defaultRowHeight="14.4" x14ac:dyDescent="0.3"/>
  <cols>
    <col min="1" max="1" width="50.44140625" style="1" bestFit="1" customWidth="1"/>
    <col min="2" max="2" width="8.77734375" style="24"/>
    <col min="3" max="3" width="13.21875" style="24" bestFit="1" customWidth="1"/>
    <col min="4" max="4" width="12.77734375" style="14" bestFit="1" customWidth="1"/>
    <col min="5" max="16384" width="8.77734375" style="1"/>
  </cols>
  <sheetData>
    <row r="1" spans="1:4" x14ac:dyDescent="0.3">
      <c r="A1" s="9" t="s">
        <v>6</v>
      </c>
      <c r="B1" s="23" t="s">
        <v>107</v>
      </c>
      <c r="C1" s="23" t="s">
        <v>4</v>
      </c>
      <c r="D1" s="31" t="s">
        <v>5</v>
      </c>
    </row>
    <row r="2" spans="1:4" x14ac:dyDescent="0.3">
      <c r="A2" s="4" t="s">
        <v>38</v>
      </c>
      <c r="B2" s="5"/>
      <c r="C2" s="6">
        <v>101066</v>
      </c>
      <c r="D2" s="32">
        <v>1212792</v>
      </c>
    </row>
    <row r="3" spans="1:4" x14ac:dyDescent="0.3">
      <c r="A3" s="1" t="s">
        <v>39</v>
      </c>
      <c r="B3" s="25">
        <v>0.05</v>
      </c>
      <c r="C3" s="13">
        <v>5053.3</v>
      </c>
      <c r="D3" s="33">
        <v>60639.600000000006</v>
      </c>
    </row>
    <row r="4" spans="1:4" x14ac:dyDescent="0.3">
      <c r="A4" s="1" t="s">
        <v>40</v>
      </c>
      <c r="B4" s="25">
        <v>0.18</v>
      </c>
      <c r="C4" s="13"/>
      <c r="D4" s="33"/>
    </row>
    <row r="5" spans="1:4" x14ac:dyDescent="0.3">
      <c r="A5" s="1" t="s">
        <v>41</v>
      </c>
      <c r="B5" s="45">
        <v>6.4999999999999997E-3</v>
      </c>
      <c r="C5" s="13">
        <v>656.92899999999997</v>
      </c>
      <c r="D5" s="33">
        <v>7883.1479999999992</v>
      </c>
    </row>
    <row r="6" spans="1:4" x14ac:dyDescent="0.3">
      <c r="A6" s="1" t="s">
        <v>42</v>
      </c>
      <c r="B6" s="25">
        <v>0.03</v>
      </c>
      <c r="C6" s="13">
        <v>3031.98</v>
      </c>
      <c r="D6" s="33">
        <v>36383.760000000002</v>
      </c>
    </row>
    <row r="7" spans="1:4" x14ac:dyDescent="0.3">
      <c r="A7" s="8" t="s">
        <v>43</v>
      </c>
      <c r="B7" s="26"/>
      <c r="C7" s="27">
        <v>92323.790999999997</v>
      </c>
      <c r="D7" s="34">
        <v>1107885.4920000001</v>
      </c>
    </row>
    <row r="8" spans="1:4" x14ac:dyDescent="0.3">
      <c r="A8" s="1" t="s">
        <v>44</v>
      </c>
      <c r="C8" s="28">
        <v>50317</v>
      </c>
      <c r="D8" s="35">
        <v>603804</v>
      </c>
    </row>
    <row r="9" spans="1:4" x14ac:dyDescent="0.3">
      <c r="A9" s="8" t="s">
        <v>45</v>
      </c>
      <c r="B9" s="26"/>
      <c r="C9" s="7">
        <v>42006.790999999997</v>
      </c>
      <c r="D9" s="32">
        <v>504081.49200000009</v>
      </c>
    </row>
    <row r="10" spans="1:4" x14ac:dyDescent="0.3">
      <c r="A10" s="1" t="s">
        <v>46</v>
      </c>
      <c r="C10" s="13">
        <v>7000</v>
      </c>
      <c r="D10" s="33">
        <v>84000</v>
      </c>
    </row>
    <row r="11" spans="1:4" x14ac:dyDescent="0.3">
      <c r="A11" s="1" t="s">
        <v>47</v>
      </c>
      <c r="C11" s="13">
        <v>32584</v>
      </c>
      <c r="D11" s="33">
        <v>391008</v>
      </c>
    </row>
    <row r="12" spans="1:4" x14ac:dyDescent="0.3">
      <c r="A12" s="1" t="s">
        <v>48</v>
      </c>
      <c r="C12" s="13"/>
      <c r="D12" s="33"/>
    </row>
    <row r="13" spans="1:4" x14ac:dyDescent="0.3">
      <c r="A13" s="1" t="s">
        <v>49</v>
      </c>
      <c r="C13" s="13"/>
      <c r="D13" s="33"/>
    </row>
    <row r="14" spans="1:4" x14ac:dyDescent="0.3">
      <c r="A14" s="1" t="s">
        <v>50</v>
      </c>
      <c r="C14" s="13">
        <v>47888</v>
      </c>
      <c r="D14" s="33">
        <v>574656</v>
      </c>
    </row>
    <row r="15" spans="1:4" x14ac:dyDescent="0.3">
      <c r="A15" s="1" t="s">
        <v>51</v>
      </c>
      <c r="C15" s="13"/>
      <c r="D15" s="33"/>
    </row>
    <row r="16" spans="1:4" x14ac:dyDescent="0.3">
      <c r="A16" s="8" t="s">
        <v>52</v>
      </c>
      <c r="B16" s="26"/>
      <c r="C16" s="7">
        <v>-45465.209000000003</v>
      </c>
      <c r="D16" s="32">
        <v>-545582.50799999991</v>
      </c>
    </row>
    <row r="17" spans="1:4" x14ac:dyDescent="0.3">
      <c r="A17" s="3" t="s">
        <v>53</v>
      </c>
      <c r="B17" s="29"/>
      <c r="C17" s="30">
        <v>1516</v>
      </c>
      <c r="D17" s="36">
        <v>18192</v>
      </c>
    </row>
    <row r="18" spans="1:4" x14ac:dyDescent="0.3">
      <c r="A18" s="8" t="s">
        <v>54</v>
      </c>
      <c r="B18" s="26"/>
      <c r="C18" s="7">
        <v>-43949.209000000003</v>
      </c>
      <c r="D18" s="32">
        <v>-563774.50799999991</v>
      </c>
    </row>
    <row r="19" spans="1:4" x14ac:dyDescent="0.3">
      <c r="A19" s="1" t="s">
        <v>55</v>
      </c>
      <c r="B19" s="25">
        <v>0.08</v>
      </c>
      <c r="C19" s="13">
        <v>8085.28</v>
      </c>
      <c r="D19" s="33">
        <v>97023.360000000001</v>
      </c>
    </row>
    <row r="20" spans="1:4" x14ac:dyDescent="0.3">
      <c r="A20" s="1" t="s">
        <v>56</v>
      </c>
      <c r="B20" s="25">
        <v>0.15</v>
      </c>
      <c r="C20" s="13">
        <v>1212.7919999999999</v>
      </c>
      <c r="D20" s="33">
        <v>14553.503999999999</v>
      </c>
    </row>
    <row r="21" spans="1:4" x14ac:dyDescent="0.3">
      <c r="A21" s="1" t="s">
        <v>57</v>
      </c>
      <c r="B21" s="25">
        <v>0.1</v>
      </c>
      <c r="C21" s="13"/>
      <c r="D21" s="33"/>
    </row>
    <row r="22" spans="1:4" x14ac:dyDescent="0.3">
      <c r="A22" s="8" t="s">
        <v>58</v>
      </c>
      <c r="B22" s="26"/>
      <c r="C22" s="7">
        <v>1212.7919999999999</v>
      </c>
      <c r="D22" s="32">
        <v>14553.503999999999</v>
      </c>
    </row>
    <row r="23" spans="1:4" x14ac:dyDescent="0.3">
      <c r="A23" s="1" t="s">
        <v>59</v>
      </c>
      <c r="B23" s="25">
        <v>0.12</v>
      </c>
      <c r="C23" s="13">
        <v>12127.92</v>
      </c>
      <c r="D23" s="33">
        <v>145535.04000000001</v>
      </c>
    </row>
    <row r="24" spans="1:4" x14ac:dyDescent="0.3">
      <c r="A24" s="1" t="s">
        <v>60</v>
      </c>
      <c r="B24" s="25">
        <v>0.09</v>
      </c>
      <c r="C24" s="13">
        <v>1091.5128</v>
      </c>
      <c r="D24" s="33">
        <v>13098.1536</v>
      </c>
    </row>
    <row r="25" spans="1:4" x14ac:dyDescent="0.3">
      <c r="A25" s="8" t="s">
        <v>61</v>
      </c>
      <c r="B25" s="26"/>
      <c r="C25" s="7">
        <v>1091.5128</v>
      </c>
      <c r="D25" s="32">
        <v>13098.1536</v>
      </c>
    </row>
    <row r="26" spans="1:4" x14ac:dyDescent="0.3">
      <c r="A26" s="3" t="s">
        <v>62</v>
      </c>
      <c r="B26" s="29"/>
      <c r="C26" s="30">
        <v>-46253.513800000001</v>
      </c>
      <c r="D26" s="36">
        <v>-591426.16559999983</v>
      </c>
    </row>
    <row r="27" spans="1:4" x14ac:dyDescent="0.3">
      <c r="A27" s="1" t="s">
        <v>63</v>
      </c>
      <c r="C27" s="13">
        <v>5795</v>
      </c>
      <c r="D27" s="33">
        <v>69540</v>
      </c>
    </row>
    <row r="28" spans="1:4" x14ac:dyDescent="0.3">
      <c r="A28" s="3" t="s">
        <v>64</v>
      </c>
      <c r="B28" s="29"/>
      <c r="C28" s="30">
        <v>-52048.513800000001</v>
      </c>
      <c r="D28" s="36">
        <v>-660966.16559999983</v>
      </c>
    </row>
    <row r="29" spans="1:4" x14ac:dyDescent="0.3">
      <c r="A29" s="3"/>
      <c r="B29" s="29"/>
      <c r="C29" s="50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613E-1B0B-40AD-A046-8E2AC4B0163D}">
  <sheetPr codeName="Planilha8"/>
  <dimension ref="A1:C7"/>
  <sheetViews>
    <sheetView workbookViewId="0">
      <selection activeCell="B1" sqref="B1"/>
    </sheetView>
  </sheetViews>
  <sheetFormatPr defaultColWidth="8.77734375" defaultRowHeight="14.4" x14ac:dyDescent="0.3"/>
  <cols>
    <col min="1" max="1" width="50.44140625" style="1" bestFit="1" customWidth="1"/>
    <col min="2" max="2" width="13.21875" style="24" bestFit="1" customWidth="1"/>
    <col min="3" max="3" width="12.77734375" style="14" bestFit="1" customWidth="1"/>
    <col min="4" max="16384" width="8.77734375" style="1"/>
  </cols>
  <sheetData>
    <row r="1" spans="1:3" x14ac:dyDescent="0.3">
      <c r="A1" s="1" t="s">
        <v>108</v>
      </c>
      <c r="B1" s="24" t="s">
        <v>105</v>
      </c>
    </row>
    <row r="2" spans="1:3" x14ac:dyDescent="0.3">
      <c r="A2" s="1" t="s">
        <v>7</v>
      </c>
      <c r="B2" s="46">
        <v>1212.7919999999999</v>
      </c>
    </row>
    <row r="3" spans="1:3" x14ac:dyDescent="0.3">
      <c r="A3" s="1" t="s">
        <v>8</v>
      </c>
      <c r="B3" s="46">
        <v>1091.5128</v>
      </c>
    </row>
    <row r="4" spans="1:3" x14ac:dyDescent="0.3">
      <c r="A4" s="1" t="s">
        <v>1</v>
      </c>
      <c r="B4" s="46">
        <v>656.92899999999997</v>
      </c>
    </row>
    <row r="5" spans="1:3" x14ac:dyDescent="0.3">
      <c r="A5" s="1" t="s">
        <v>2</v>
      </c>
      <c r="B5" s="46">
        <v>3031.98</v>
      </c>
    </row>
    <row r="6" spans="1:3" x14ac:dyDescent="0.3">
      <c r="A6" s="1" t="s">
        <v>0</v>
      </c>
      <c r="B6" s="46">
        <v>5053.3</v>
      </c>
    </row>
    <row r="7" spans="1:3" ht="15" thickBot="1" x14ac:dyDescent="0.35">
      <c r="A7" s="1" t="s">
        <v>34</v>
      </c>
      <c r="B7" s="47">
        <v>11046.513800000001</v>
      </c>
      <c r="C7" s="3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7EF4-F4E3-4FC3-8022-974FEC94C17D}">
  <sheetPr codeName="Planilha9"/>
  <dimension ref="A1:C7"/>
  <sheetViews>
    <sheetView workbookViewId="0">
      <selection activeCell="A27" sqref="A27"/>
    </sheetView>
  </sheetViews>
  <sheetFormatPr defaultColWidth="8.77734375" defaultRowHeight="14.4" x14ac:dyDescent="0.3"/>
  <cols>
    <col min="1" max="1" width="50.44140625" style="1" bestFit="1" customWidth="1"/>
    <col min="2" max="2" width="10.44140625" style="24" bestFit="1" customWidth="1"/>
    <col min="3" max="3" width="12.77734375" style="14" bestFit="1" customWidth="1"/>
    <col min="4" max="16384" width="8.77734375" style="1"/>
  </cols>
  <sheetData>
    <row r="1" spans="1:3" x14ac:dyDescent="0.3">
      <c r="A1" s="1" t="s">
        <v>110</v>
      </c>
      <c r="B1" s="24" t="s">
        <v>105</v>
      </c>
      <c r="C1" s="14" t="s">
        <v>120</v>
      </c>
    </row>
    <row r="2" spans="1:3" ht="15" thickBot="1" x14ac:dyDescent="0.35">
      <c r="A2" s="3" t="s">
        <v>75</v>
      </c>
      <c r="B2" s="47">
        <v>11970.85</v>
      </c>
      <c r="C2" s="38">
        <f>B2/'L. PRESUMIDO SERV. MÉDICOS'!$C$2</f>
        <v>0.11844586705717057</v>
      </c>
    </row>
    <row r="3" spans="1:3" ht="15" thickBot="1" x14ac:dyDescent="0.35">
      <c r="A3" s="3" t="s">
        <v>30</v>
      </c>
      <c r="B3" s="47">
        <v>23017.363799999999</v>
      </c>
      <c r="C3" s="38">
        <f>B3/'L. PRESUMIDO SERV. MÉDICOS'!$C$2</f>
        <v>0.22774586705717056</v>
      </c>
    </row>
    <row r="4" spans="1:3" ht="15" thickBot="1" x14ac:dyDescent="0.35">
      <c r="A4" s="3" t="s">
        <v>9</v>
      </c>
      <c r="B4" s="49">
        <v>0.22774586705717056</v>
      </c>
      <c r="C4" s="38"/>
    </row>
    <row r="5" spans="1:3" ht="15" thickBot="1" x14ac:dyDescent="0.35">
      <c r="A5" s="3" t="s">
        <v>37</v>
      </c>
      <c r="B5" s="47">
        <v>-53000.685599999997</v>
      </c>
    </row>
    <row r="6" spans="1:3" x14ac:dyDescent="0.3">
      <c r="A6" s="3"/>
      <c r="B6" s="50"/>
    </row>
    <row r="7" spans="1:3" x14ac:dyDescent="0.3">
      <c r="A7" s="3"/>
      <c r="B7" s="50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620E-5FC9-4478-AEE4-41A23D8A1E96}">
  <sheetPr codeName="Planilha10"/>
  <dimension ref="A1:D33"/>
  <sheetViews>
    <sheetView workbookViewId="0">
      <selection activeCell="D30" sqref="D30"/>
    </sheetView>
  </sheetViews>
  <sheetFormatPr defaultColWidth="8.77734375" defaultRowHeight="14.4" x14ac:dyDescent="0.3"/>
  <cols>
    <col min="1" max="1" width="50.44140625" style="1" bestFit="1" customWidth="1"/>
    <col min="2" max="2" width="8.77734375" style="24"/>
    <col min="3" max="3" width="13.21875" style="24" bestFit="1" customWidth="1"/>
    <col min="4" max="4" width="12.77734375" style="14" bestFit="1" customWidth="1"/>
    <col min="5" max="16384" width="8.77734375" style="1"/>
  </cols>
  <sheetData>
    <row r="1" spans="1:4" ht="13.8" customHeight="1" x14ac:dyDescent="0.3">
      <c r="A1" s="9" t="s">
        <v>6</v>
      </c>
      <c r="B1" s="23" t="s">
        <v>106</v>
      </c>
      <c r="C1" s="23" t="s">
        <v>4</v>
      </c>
      <c r="D1" s="31" t="s">
        <v>5</v>
      </c>
    </row>
    <row r="2" spans="1:4" ht="13.8" customHeight="1" x14ac:dyDescent="0.3">
      <c r="A2" s="4" t="s">
        <v>76</v>
      </c>
      <c r="B2" s="5"/>
      <c r="C2" s="6">
        <v>101066</v>
      </c>
      <c r="D2" s="32">
        <v>1212792</v>
      </c>
    </row>
    <row r="3" spans="1:4" ht="13.8" customHeight="1" x14ac:dyDescent="0.3">
      <c r="A3" s="1" t="s">
        <v>77</v>
      </c>
      <c r="B3" s="25">
        <v>0.05</v>
      </c>
      <c r="C3" s="13">
        <v>5053.3</v>
      </c>
      <c r="D3" s="33">
        <v>60639.600000000006</v>
      </c>
    </row>
    <row r="4" spans="1:4" ht="13.8" customHeight="1" x14ac:dyDescent="0.3">
      <c r="A4" s="1" t="s">
        <v>78</v>
      </c>
      <c r="B4" s="25">
        <v>0.18</v>
      </c>
      <c r="C4" s="13"/>
      <c r="D4" s="33"/>
    </row>
    <row r="5" spans="1:4" x14ac:dyDescent="0.3">
      <c r="A5" s="1" t="s">
        <v>79</v>
      </c>
      <c r="B5" s="45">
        <v>1.6500000000000001E-2</v>
      </c>
      <c r="C5" s="13">
        <v>1667.5890000000002</v>
      </c>
      <c r="D5" s="33">
        <v>20011.067999999999</v>
      </c>
    </row>
    <row r="6" spans="1:4" x14ac:dyDescent="0.3">
      <c r="A6" s="1" t="s">
        <v>80</v>
      </c>
      <c r="B6" s="25">
        <v>7.5999999999999998E-2</v>
      </c>
      <c r="C6" s="13">
        <v>7681.0159999999996</v>
      </c>
      <c r="D6" s="33">
        <v>92172.191999999995</v>
      </c>
    </row>
    <row r="7" spans="1:4" x14ac:dyDescent="0.3">
      <c r="A7" s="1" t="s">
        <v>81</v>
      </c>
      <c r="B7" s="25">
        <v>0</v>
      </c>
      <c r="C7" s="13"/>
      <c r="D7" s="33"/>
    </row>
    <row r="8" spans="1:4" x14ac:dyDescent="0.3">
      <c r="A8" s="1" t="s">
        <v>82</v>
      </c>
      <c r="B8" s="45">
        <v>1.6500000000000001E-2</v>
      </c>
      <c r="C8" s="13">
        <v>944.36099999999999</v>
      </c>
      <c r="D8" s="33">
        <v>11332.332</v>
      </c>
    </row>
    <row r="9" spans="1:4" x14ac:dyDescent="0.3">
      <c r="A9" s="1" t="s">
        <v>83</v>
      </c>
      <c r="B9" s="45">
        <v>7.5999999999999998E-2</v>
      </c>
      <c r="C9" s="13">
        <v>4349.7839999999997</v>
      </c>
      <c r="D9" s="33">
        <v>52197.407999999996</v>
      </c>
    </row>
    <row r="10" spans="1:4" x14ac:dyDescent="0.3">
      <c r="A10" s="1" t="s">
        <v>84</v>
      </c>
      <c r="B10" s="45">
        <v>6.4999999999999997E-3</v>
      </c>
      <c r="C10" s="13">
        <v>656.92899999999997</v>
      </c>
      <c r="D10" s="33">
        <v>7883.1479999999992</v>
      </c>
    </row>
    <row r="11" spans="1:4" x14ac:dyDescent="0.3">
      <c r="A11" s="1" t="s">
        <v>85</v>
      </c>
      <c r="B11" s="45">
        <v>0.03</v>
      </c>
      <c r="C11" s="13">
        <v>3031.98</v>
      </c>
      <c r="D11" s="33">
        <v>36383.760000000002</v>
      </c>
    </row>
    <row r="12" spans="1:4" x14ac:dyDescent="0.3">
      <c r="A12" s="1" t="s">
        <v>86</v>
      </c>
      <c r="B12" s="45">
        <v>1.4999999999999999E-2</v>
      </c>
      <c r="C12" s="13">
        <v>1515.99</v>
      </c>
      <c r="D12" s="33">
        <v>18191.88</v>
      </c>
    </row>
    <row r="13" spans="1:4" x14ac:dyDescent="0.3">
      <c r="A13" s="1" t="s">
        <v>87</v>
      </c>
      <c r="B13" s="45">
        <v>0.01</v>
      </c>
      <c r="C13" s="13">
        <v>1010.66</v>
      </c>
      <c r="D13" s="33">
        <v>12127.92</v>
      </c>
    </row>
    <row r="14" spans="1:4" x14ac:dyDescent="0.3">
      <c r="A14" s="8" t="s">
        <v>88</v>
      </c>
      <c r="B14" s="26"/>
      <c r="C14" s="27">
        <v>98173.798999999999</v>
      </c>
      <c r="D14" s="34">
        <v>1178085.588</v>
      </c>
    </row>
    <row r="15" spans="1:4" x14ac:dyDescent="0.3">
      <c r="A15" s="1" t="s">
        <v>89</v>
      </c>
      <c r="C15" s="28">
        <v>50317</v>
      </c>
      <c r="D15" s="35">
        <v>603804</v>
      </c>
    </row>
    <row r="16" spans="1:4" x14ac:dyDescent="0.3">
      <c r="A16" s="8" t="s">
        <v>90</v>
      </c>
      <c r="B16" s="26"/>
      <c r="C16" s="7">
        <v>47856.798999999999</v>
      </c>
      <c r="D16" s="32">
        <v>574281.58799999999</v>
      </c>
    </row>
    <row r="17" spans="1:4" x14ac:dyDescent="0.3">
      <c r="A17" s="1" t="s">
        <v>91</v>
      </c>
      <c r="C17" s="13">
        <v>7000</v>
      </c>
      <c r="D17" s="33">
        <v>84000</v>
      </c>
    </row>
    <row r="18" spans="1:4" x14ac:dyDescent="0.3">
      <c r="A18" s="1" t="s">
        <v>92</v>
      </c>
      <c r="C18" s="13">
        <v>32584</v>
      </c>
      <c r="D18" s="33">
        <v>391008</v>
      </c>
    </row>
    <row r="19" spans="1:4" x14ac:dyDescent="0.3">
      <c r="A19" s="1" t="s">
        <v>93</v>
      </c>
      <c r="C19" s="13"/>
      <c r="D19" s="33"/>
    </row>
    <row r="20" spans="1:4" x14ac:dyDescent="0.3">
      <c r="A20" s="1" t="s">
        <v>94</v>
      </c>
      <c r="C20" s="13"/>
      <c r="D20" s="33"/>
    </row>
    <row r="21" spans="1:4" x14ac:dyDescent="0.3">
      <c r="A21" s="1" t="s">
        <v>95</v>
      </c>
      <c r="C21" s="13">
        <v>47888</v>
      </c>
      <c r="D21" s="33">
        <v>574656</v>
      </c>
    </row>
    <row r="22" spans="1:4" x14ac:dyDescent="0.3">
      <c r="A22" s="1" t="s">
        <v>96</v>
      </c>
      <c r="C22" s="51">
        <v>8808</v>
      </c>
      <c r="D22" s="33">
        <v>105696</v>
      </c>
    </row>
    <row r="23" spans="1:4" x14ac:dyDescent="0.3">
      <c r="A23" s="8" t="s">
        <v>97</v>
      </c>
      <c r="B23" s="26"/>
      <c r="C23" s="7">
        <v>-48423.201000000001</v>
      </c>
      <c r="D23" s="32">
        <v>-581078.41200000001</v>
      </c>
    </row>
    <row r="24" spans="1:4" x14ac:dyDescent="0.3">
      <c r="A24" s="3" t="s">
        <v>98</v>
      </c>
      <c r="B24" s="29"/>
      <c r="C24" s="30">
        <v>1516</v>
      </c>
      <c r="D24" s="36">
        <v>18192</v>
      </c>
    </row>
    <row r="25" spans="1:4" x14ac:dyDescent="0.3">
      <c r="A25" s="8" t="s">
        <v>99</v>
      </c>
      <c r="B25" s="26"/>
      <c r="C25" s="7">
        <v>-46907.201000000001</v>
      </c>
      <c r="D25" s="32">
        <v>-599270.41200000001</v>
      </c>
    </row>
    <row r="26" spans="1:4" x14ac:dyDescent="0.3">
      <c r="A26" s="1" t="s">
        <v>10</v>
      </c>
      <c r="B26" s="25">
        <v>0.15</v>
      </c>
      <c r="C26" s="13"/>
      <c r="D26" s="33"/>
    </row>
    <row r="27" spans="1:4" x14ac:dyDescent="0.3">
      <c r="A27" s="1" t="s">
        <v>3</v>
      </c>
      <c r="B27" s="25">
        <v>0.1</v>
      </c>
      <c r="C27" s="13"/>
      <c r="D27" s="33"/>
    </row>
    <row r="28" spans="1:4" x14ac:dyDescent="0.3">
      <c r="A28" s="8" t="s">
        <v>100</v>
      </c>
      <c r="B28" s="26"/>
      <c r="C28" s="7"/>
      <c r="D28" s="32"/>
    </row>
    <row r="29" spans="1:4" x14ac:dyDescent="0.3">
      <c r="A29" s="1" t="s">
        <v>11</v>
      </c>
      <c r="B29" s="25">
        <v>0.09</v>
      </c>
      <c r="C29" s="13"/>
      <c r="D29" s="33"/>
    </row>
    <row r="30" spans="1:4" x14ac:dyDescent="0.3">
      <c r="A30" s="8" t="s">
        <v>101</v>
      </c>
      <c r="B30" s="26"/>
      <c r="C30" s="7"/>
      <c r="D30" s="32"/>
    </row>
    <row r="31" spans="1:4" x14ac:dyDescent="0.3">
      <c r="A31" s="3" t="s">
        <v>102</v>
      </c>
      <c r="B31" s="29"/>
      <c r="C31" s="30">
        <v>-46907.201000000001</v>
      </c>
      <c r="D31" s="36">
        <v>-599270.41200000001</v>
      </c>
    </row>
    <row r="32" spans="1:4" x14ac:dyDescent="0.3">
      <c r="A32" s="1" t="s">
        <v>103</v>
      </c>
      <c r="C32" s="13">
        <v>5795</v>
      </c>
      <c r="D32" s="33">
        <v>69540</v>
      </c>
    </row>
    <row r="33" spans="1:4" x14ac:dyDescent="0.3">
      <c r="A33" s="3" t="s">
        <v>104</v>
      </c>
      <c r="B33" s="29"/>
      <c r="C33" s="30">
        <v>-52702.201000000001</v>
      </c>
      <c r="D33" s="36">
        <v>-668810.41200000001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B1A2-BCD1-471C-8567-9BFB4B13D426}">
  <sheetPr codeName="Planilha11"/>
  <dimension ref="A1:C7"/>
  <sheetViews>
    <sheetView workbookViewId="0">
      <selection activeCell="B3" sqref="B3"/>
    </sheetView>
  </sheetViews>
  <sheetFormatPr defaultColWidth="8.77734375" defaultRowHeight="14.4" x14ac:dyDescent="0.3"/>
  <cols>
    <col min="1" max="1" width="50.44140625" style="1" bestFit="1" customWidth="1"/>
    <col min="2" max="2" width="13.21875" style="24" bestFit="1" customWidth="1"/>
    <col min="3" max="3" width="12.77734375" style="14" bestFit="1" customWidth="1"/>
    <col min="4" max="16384" width="8.77734375" style="1"/>
  </cols>
  <sheetData>
    <row r="1" spans="1:3" x14ac:dyDescent="0.3">
      <c r="A1" s="1" t="s">
        <v>108</v>
      </c>
      <c r="B1" s="24" t="s">
        <v>109</v>
      </c>
    </row>
    <row r="2" spans="1:3" x14ac:dyDescent="0.3">
      <c r="A2" s="1" t="s">
        <v>7</v>
      </c>
      <c r="B2" s="46"/>
    </row>
    <row r="3" spans="1:3" x14ac:dyDescent="0.3">
      <c r="A3" s="1" t="s">
        <v>8</v>
      </c>
      <c r="B3" s="46"/>
    </row>
    <row r="4" spans="1:3" x14ac:dyDescent="0.3">
      <c r="A4" s="1" t="s">
        <v>1</v>
      </c>
      <c r="B4" s="46">
        <v>66.299000000000206</v>
      </c>
    </row>
    <row r="5" spans="1:3" x14ac:dyDescent="0.3">
      <c r="A5" s="1" t="s">
        <v>2</v>
      </c>
      <c r="B5" s="46">
        <v>299.25199999999995</v>
      </c>
    </row>
    <row r="6" spans="1:3" x14ac:dyDescent="0.3">
      <c r="A6" s="1" t="s">
        <v>0</v>
      </c>
      <c r="B6" s="46">
        <v>5053.3</v>
      </c>
    </row>
    <row r="7" spans="1:3" ht="15" thickBot="1" x14ac:dyDescent="0.35">
      <c r="A7" s="1" t="s">
        <v>34</v>
      </c>
      <c r="B7" s="47">
        <v>5418.8510000000006</v>
      </c>
      <c r="C7" s="38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C2E1-8524-464C-B782-F51CFC915B0D}">
  <sheetPr codeName="Planilha12"/>
  <dimension ref="A1:C5"/>
  <sheetViews>
    <sheetView workbookViewId="0">
      <selection activeCell="D10" sqref="D10"/>
    </sheetView>
  </sheetViews>
  <sheetFormatPr defaultColWidth="8.77734375" defaultRowHeight="14.4" x14ac:dyDescent="0.3"/>
  <cols>
    <col min="1" max="1" width="50.44140625" style="1" bestFit="1" customWidth="1"/>
    <col min="2" max="2" width="13.21875" style="24" bestFit="1" customWidth="1"/>
    <col min="3" max="3" width="15.33203125" style="14" bestFit="1" customWidth="1"/>
    <col min="4" max="16384" width="8.77734375" style="1"/>
  </cols>
  <sheetData>
    <row r="1" spans="1:3" x14ac:dyDescent="0.3">
      <c r="A1" s="1" t="s">
        <v>110</v>
      </c>
      <c r="B1" s="24" t="s">
        <v>105</v>
      </c>
      <c r="C1" s="14" t="s">
        <v>120</v>
      </c>
    </row>
    <row r="2" spans="1:3" ht="15" thickBot="1" x14ac:dyDescent="0.35">
      <c r="A2" s="3" t="s">
        <v>75</v>
      </c>
      <c r="B2" s="47">
        <v>11970.85</v>
      </c>
      <c r="C2" s="59">
        <f>B2/'L. REAL'!$C$2</f>
        <v>0.11844586705717057</v>
      </c>
    </row>
    <row r="3" spans="1:3" ht="15" thickBot="1" x14ac:dyDescent="0.35">
      <c r="A3" s="3" t="s">
        <v>30</v>
      </c>
      <c r="B3" s="47">
        <v>17389.701000000001</v>
      </c>
      <c r="C3" s="59">
        <f>B3/'L. REAL'!$C$2</f>
        <v>0.17206282033522649</v>
      </c>
    </row>
    <row r="4" spans="1:3" ht="15" thickBot="1" x14ac:dyDescent="0.35">
      <c r="A4" s="3" t="s">
        <v>9</v>
      </c>
      <c r="B4" s="49">
        <v>0.17206282033522649</v>
      </c>
    </row>
    <row r="5" spans="1:3" ht="15" thickBot="1" x14ac:dyDescent="0.35">
      <c r="A5" s="3" t="s">
        <v>12</v>
      </c>
      <c r="B5" s="47">
        <v>14531.267999999982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68D0-A738-40AD-8029-26D3A2306802}">
  <sheetPr codeName="Planilha13"/>
  <dimension ref="A1:C6"/>
  <sheetViews>
    <sheetView workbookViewId="0">
      <selection activeCell="C2" sqref="C2:C4"/>
    </sheetView>
  </sheetViews>
  <sheetFormatPr defaultColWidth="8.77734375" defaultRowHeight="14.4" x14ac:dyDescent="0.3"/>
  <cols>
    <col min="1" max="1" width="72.88671875" style="1" bestFit="1" customWidth="1"/>
    <col min="2" max="2" width="11.44140625" style="1" bestFit="1" customWidth="1"/>
    <col min="3" max="16384" width="8.77734375" style="1"/>
  </cols>
  <sheetData>
    <row r="1" spans="1:3" x14ac:dyDescent="0.3">
      <c r="A1" s="1" t="s">
        <v>35</v>
      </c>
      <c r="B1" s="1" t="s">
        <v>105</v>
      </c>
      <c r="C1" s="14" t="s">
        <v>120</v>
      </c>
    </row>
    <row r="2" spans="1:3" ht="13.8" customHeight="1" x14ac:dyDescent="0.3">
      <c r="A2" s="3" t="s">
        <v>75</v>
      </c>
      <c r="B2" s="10">
        <v>2430.08</v>
      </c>
      <c r="C2" s="60">
        <f>B2/'L. REAL'!$C$2</f>
        <v>2.4044485781568481E-2</v>
      </c>
    </row>
    <row r="3" spans="1:3" x14ac:dyDescent="0.3">
      <c r="A3" s="3" t="s">
        <v>32</v>
      </c>
      <c r="B3" s="10">
        <v>5418.8510000000006</v>
      </c>
      <c r="C3" s="60">
        <f>B3/'L. REAL'!$C$2</f>
        <v>5.3616953278055927E-2</v>
      </c>
    </row>
    <row r="4" spans="1:3" ht="15" thickBot="1" x14ac:dyDescent="0.35">
      <c r="A4" s="3" t="s">
        <v>34</v>
      </c>
      <c r="B4" s="11">
        <v>7848.9310000000005</v>
      </c>
      <c r="C4" s="60">
        <f>B4/'L. REAL'!$C$2</f>
        <v>7.7661439059624415E-2</v>
      </c>
    </row>
    <row r="5" spans="1:3" ht="15" thickBot="1" x14ac:dyDescent="0.35">
      <c r="A5" s="3" t="s">
        <v>33</v>
      </c>
      <c r="B5" s="20">
        <v>7.7661439059624415E-2</v>
      </c>
    </row>
    <row r="6" spans="1:3" ht="15" thickBot="1" x14ac:dyDescent="0.35">
      <c r="A6" s="3" t="s">
        <v>12</v>
      </c>
      <c r="B6" s="12">
        <v>129020.50799999999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55A3-A5C8-4C57-9FD7-F12C1367983B}">
  <sheetPr codeName="Planilha14"/>
  <dimension ref="A1:K9"/>
  <sheetViews>
    <sheetView tabSelected="1" workbookViewId="0">
      <selection activeCell="I12" sqref="I12"/>
    </sheetView>
  </sheetViews>
  <sheetFormatPr defaultRowHeight="14.4" x14ac:dyDescent="0.3"/>
  <cols>
    <col min="1" max="1" width="12.6640625" bestFit="1" customWidth="1"/>
    <col min="2" max="2" width="10.21875" bestFit="1" customWidth="1"/>
    <col min="3" max="3" width="8.88671875" style="53"/>
    <col min="4" max="4" width="17.77734375" style="55" bestFit="1" customWidth="1"/>
    <col min="6" max="6" width="23.6640625" bestFit="1" customWidth="1"/>
    <col min="7" max="7" width="8.88671875" style="54"/>
    <col min="8" max="8" width="10.21875" style="55" bestFit="1" customWidth="1"/>
    <col min="9" max="9" width="8.88671875" style="54"/>
    <col min="10" max="10" width="16.77734375" customWidth="1"/>
  </cols>
  <sheetData>
    <row r="1" spans="1:11" x14ac:dyDescent="0.3">
      <c r="A1" s="57" t="s">
        <v>119</v>
      </c>
      <c r="B1" s="52" t="s">
        <v>111</v>
      </c>
      <c r="C1" s="52" t="s">
        <v>121</v>
      </c>
      <c r="D1" s="52" t="s">
        <v>112</v>
      </c>
      <c r="E1" s="52" t="s">
        <v>122</v>
      </c>
      <c r="F1" s="52" t="s">
        <v>113</v>
      </c>
      <c r="G1" s="52" t="s">
        <v>123</v>
      </c>
      <c r="H1" s="52" t="s">
        <v>114</v>
      </c>
      <c r="I1" s="52" t="s">
        <v>124</v>
      </c>
      <c r="J1" s="52" t="s">
        <v>115</v>
      </c>
      <c r="K1" s="52" t="s">
        <v>125</v>
      </c>
    </row>
    <row r="2" spans="1:11" x14ac:dyDescent="0.3">
      <c r="A2" t="s">
        <v>116</v>
      </c>
      <c r="B2" s="52">
        <v>16170.56</v>
      </c>
      <c r="C2" s="52">
        <v>0.16</v>
      </c>
      <c r="D2" s="52">
        <v>16504.077799999999</v>
      </c>
      <c r="E2" s="52">
        <v>0.1633</v>
      </c>
      <c r="F2" s="52">
        <v>11046.513800000001</v>
      </c>
      <c r="G2" s="52">
        <v>0.10930000000000001</v>
      </c>
      <c r="H2" s="52">
        <v>5418.8510000000006</v>
      </c>
      <c r="I2" s="52">
        <v>5.3616953278055927E-2</v>
      </c>
      <c r="J2" s="52">
        <v>2430.08</v>
      </c>
      <c r="K2" s="56">
        <v>2.1959877101030183E-2</v>
      </c>
    </row>
    <row r="3" spans="1:11" x14ac:dyDescent="0.3">
      <c r="A3" t="s">
        <v>117</v>
      </c>
      <c r="B3" s="52">
        <v>2430.08</v>
      </c>
      <c r="C3" s="52">
        <v>2.4044485781568481E-2</v>
      </c>
      <c r="D3" s="52">
        <v>11970.85</v>
      </c>
      <c r="E3" s="52">
        <v>0.11840000000000001</v>
      </c>
      <c r="F3" s="52">
        <v>11970.85</v>
      </c>
      <c r="G3" s="52">
        <v>0.11844586705717057</v>
      </c>
      <c r="H3" s="52">
        <v>11970.85</v>
      </c>
      <c r="I3" s="52">
        <v>0.11844586705717057</v>
      </c>
      <c r="J3" s="52">
        <v>5418.8510000000006</v>
      </c>
      <c r="K3" s="56">
        <v>4.8968470992228452E-2</v>
      </c>
    </row>
    <row r="4" spans="1:11" x14ac:dyDescent="0.3">
      <c r="A4" t="s">
        <v>118</v>
      </c>
      <c r="B4" s="52">
        <f>B2+B3</f>
        <v>18600.64</v>
      </c>
      <c r="C4" s="52">
        <v>0.18404448578156848</v>
      </c>
      <c r="D4" s="52">
        <f t="shared" ref="D4:K4" si="0">D2+D3</f>
        <v>28474.927799999998</v>
      </c>
      <c r="E4" s="52">
        <f t="shared" si="0"/>
        <v>0.28170000000000001</v>
      </c>
      <c r="F4" s="52">
        <f t="shared" si="0"/>
        <v>23017.363799999999</v>
      </c>
      <c r="G4" s="52">
        <f t="shared" si="0"/>
        <v>0.22774586705717059</v>
      </c>
      <c r="H4" s="52">
        <f t="shared" si="0"/>
        <v>17389.701000000001</v>
      </c>
      <c r="I4" s="52">
        <f t="shared" si="0"/>
        <v>0.17206282033522649</v>
      </c>
      <c r="J4" s="52">
        <f t="shared" si="0"/>
        <v>7848.9310000000005</v>
      </c>
      <c r="K4" s="56">
        <f t="shared" si="0"/>
        <v>7.0928348093258639E-2</v>
      </c>
    </row>
    <row r="5" spans="1:11" x14ac:dyDescent="0.3">
      <c r="B5" s="55"/>
      <c r="F5" s="55"/>
    </row>
    <row r="6" spans="1:11" x14ac:dyDescent="0.3">
      <c r="B6" s="55"/>
      <c r="F6" s="55"/>
    </row>
    <row r="7" spans="1:11" x14ac:dyDescent="0.3">
      <c r="B7" s="55"/>
      <c r="F7" s="55"/>
    </row>
    <row r="8" spans="1:11" x14ac:dyDescent="0.3">
      <c r="B8" s="55"/>
      <c r="F8" s="55"/>
    </row>
    <row r="9" spans="1:11" x14ac:dyDescent="0.3">
      <c r="B9" s="5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ENCARGOS TRABALHISTAS</vt:lpstr>
      <vt:lpstr>ENCARGOS TRABALHISTAS (2)</vt:lpstr>
      <vt:lpstr>SIMPLES</vt:lpstr>
      <vt:lpstr>L. PRESUMIDO SERV. NORMAIS</vt:lpstr>
      <vt:lpstr>L. PRESUMIDO SERV. NORMAIS (2)</vt:lpstr>
      <vt:lpstr>L. PRESUMIDO SERV. NORMAIS (3)</vt:lpstr>
      <vt:lpstr>L. PRESUMIDO SERV. MÉDICOS</vt:lpstr>
      <vt:lpstr>L. PRESUMIDO SERV. MÉDICOS (2)</vt:lpstr>
      <vt:lpstr>L. PRESUMIDO SERV. MÉDICOS (3)</vt:lpstr>
      <vt:lpstr>L. REAL</vt:lpstr>
      <vt:lpstr>L. REAL (2)</vt:lpstr>
      <vt:lpstr>L. REAL (3)</vt:lpstr>
      <vt:lpstr>SIMPLES FOLHA + REAL APURAÇÃO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Franco Molina</dc:creator>
  <cp:lastModifiedBy>Ismael Junior</cp:lastModifiedBy>
  <dcterms:created xsi:type="dcterms:W3CDTF">2026-01-14T14:22:40Z</dcterms:created>
  <dcterms:modified xsi:type="dcterms:W3CDTF">2026-01-22T02:37:35Z</dcterms:modified>
</cp:coreProperties>
</file>